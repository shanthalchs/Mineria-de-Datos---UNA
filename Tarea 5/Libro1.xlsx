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midat04/Documents/Github/Mineria de Datos - UNA/Tarea 5/"/>
    </mc:Choice>
  </mc:AlternateContent>
  <xr:revisionPtr revIDLastSave="0" documentId="8_{64E77E4B-D54C-F849-83DF-87191AE36D06}" xr6:coauthVersionLast="45" xr6:coauthVersionMax="45" xr10:uidLastSave="{00000000-0000-0000-0000-000000000000}"/>
  <bookViews>
    <workbookView xWindow="22980" yWindow="0" windowWidth="17980" windowHeight="23040" xr2:uid="{EA5B95D0-4609-504F-9712-FE50E1ADB3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0" i="1" l="1"/>
  <c r="P15" i="1"/>
  <c r="O15" i="1"/>
  <c r="R44" i="1"/>
  <c r="O44" i="1"/>
  <c r="Q44" i="1"/>
  <c r="Q43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7" i="1"/>
  <c r="P44" i="1"/>
  <c r="L25" i="1"/>
  <c r="P43" i="1"/>
  <c r="P41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27" i="1"/>
  <c r="N41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27" i="1"/>
  <c r="N43" i="1" s="1"/>
  <c r="N44" i="1" s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7" i="1"/>
  <c r="M43" i="1" s="1"/>
  <c r="M44" i="1" s="1"/>
  <c r="J27" i="1"/>
  <c r="N15" i="1"/>
  <c r="N16" i="1"/>
  <c r="J28" i="1"/>
  <c r="J43" i="1" s="1"/>
  <c r="K41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J41" i="1"/>
  <c r="J29" i="1"/>
  <c r="J30" i="1"/>
  <c r="J31" i="1"/>
  <c r="J32" i="1"/>
  <c r="J33" i="1"/>
  <c r="J34" i="1"/>
  <c r="J35" i="1"/>
  <c r="J36" i="1"/>
  <c r="J37" i="1"/>
  <c r="J38" i="1"/>
  <c r="J39" i="1"/>
  <c r="J40" i="1"/>
  <c r="G38" i="1"/>
  <c r="G39" i="1"/>
  <c r="G40" i="1"/>
  <c r="G41" i="1"/>
  <c r="G42" i="1"/>
  <c r="G43" i="1"/>
  <c r="G44" i="1"/>
  <c r="G45" i="1"/>
  <c r="G46" i="1"/>
  <c r="F38" i="1"/>
  <c r="F39" i="1"/>
  <c r="F47" i="1" s="1"/>
  <c r="F48" i="1" s="1"/>
  <c r="F40" i="1"/>
  <c r="F41" i="1"/>
  <c r="F42" i="1"/>
  <c r="F43" i="1"/>
  <c r="F44" i="1"/>
  <c r="F45" i="1"/>
  <c r="F46" i="1"/>
  <c r="E38" i="1"/>
  <c r="E47" i="1" s="1"/>
  <c r="E48" i="1" s="1"/>
  <c r="E39" i="1"/>
  <c r="E40" i="1"/>
  <c r="E41" i="1"/>
  <c r="E42" i="1"/>
  <c r="E43" i="1"/>
  <c r="E44" i="1"/>
  <c r="E45" i="1"/>
  <c r="E46" i="1"/>
  <c r="E37" i="1"/>
  <c r="F37" i="1"/>
  <c r="G37" i="1"/>
  <c r="G47" i="1" s="1"/>
  <c r="G48" i="1" s="1"/>
  <c r="D46" i="1"/>
  <c r="D45" i="1"/>
  <c r="D38" i="1"/>
  <c r="D39" i="1"/>
  <c r="D40" i="1"/>
  <c r="D41" i="1"/>
  <c r="D42" i="1"/>
  <c r="D43" i="1"/>
  <c r="D44" i="1"/>
  <c r="D37" i="1"/>
  <c r="D47" i="1" s="1"/>
  <c r="D48" i="1" s="1"/>
  <c r="D23" i="1"/>
  <c r="G32" i="1"/>
  <c r="F32" i="1"/>
  <c r="G24" i="1"/>
  <c r="G25" i="1"/>
  <c r="G26" i="1"/>
  <c r="G27" i="1"/>
  <c r="G28" i="1"/>
  <c r="G29" i="1"/>
  <c r="G30" i="1"/>
  <c r="G31" i="1"/>
  <c r="F24" i="1"/>
  <c r="F25" i="1"/>
  <c r="F26" i="1"/>
  <c r="F33" i="1" s="1"/>
  <c r="F34" i="1" s="1"/>
  <c r="F27" i="1"/>
  <c r="F28" i="1"/>
  <c r="F29" i="1"/>
  <c r="F30" i="1"/>
  <c r="F31" i="1"/>
  <c r="G23" i="1"/>
  <c r="F23" i="1"/>
  <c r="E24" i="1"/>
  <c r="E25" i="1"/>
  <c r="E26" i="1"/>
  <c r="E27" i="1"/>
  <c r="E28" i="1"/>
  <c r="E29" i="1"/>
  <c r="E30" i="1"/>
  <c r="E31" i="1"/>
  <c r="E32" i="1"/>
  <c r="E23" i="1"/>
  <c r="E33" i="1" s="1"/>
  <c r="E34" i="1" s="1"/>
  <c r="D32" i="1"/>
  <c r="D31" i="1"/>
  <c r="D24" i="1"/>
  <c r="D25" i="1"/>
  <c r="D26" i="1"/>
  <c r="D27" i="1"/>
  <c r="D28" i="1"/>
  <c r="D29" i="1"/>
  <c r="D30" i="1"/>
  <c r="H48" i="1" l="1"/>
  <c r="K43" i="1"/>
  <c r="K44" i="1" s="1"/>
  <c r="D33" i="1"/>
  <c r="D34" i="1" s="1"/>
  <c r="G33" i="1"/>
  <c r="G34" i="1" s="1"/>
  <c r="J44" i="1"/>
  <c r="H34" i="1" l="1"/>
  <c r="L44" i="1"/>
</calcChain>
</file>

<file path=xl/sharedStrings.xml><?xml version="1.0" encoding="utf-8"?>
<sst xmlns="http://schemas.openxmlformats.org/spreadsheetml/2006/main" count="52" uniqueCount="14">
  <si>
    <t>Monto Credito</t>
  </si>
  <si>
    <t>Ingreso Neto</t>
  </si>
  <si>
    <t>Monto Cuota</t>
  </si>
  <si>
    <t>Grado Academico</t>
  </si>
  <si>
    <t>Buen Pagador</t>
  </si>
  <si>
    <t>SI</t>
  </si>
  <si>
    <t>NO</t>
  </si>
  <si>
    <t>Genero</t>
  </si>
  <si>
    <t>F</t>
  </si>
  <si>
    <t>M</t>
  </si>
  <si>
    <t>Altura</t>
  </si>
  <si>
    <t>Clase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</si>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</sst>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4D05-1391-1D49-8DAB-C244DD56DFA5}">
  <dimension ref="B4:R50"/>
  <sheetViews>
    <sheetView tabSelected="1" topLeftCell="H3" workbookViewId="0">
      <selection activeCell="K50" sqref="K50"/>
    </sheetView>
  </sheetViews>
  <sheetFormatPr baseColWidth="10" defaultRowHeight="16" x14ac:dyDescent="0.2"/>
  <cols>
    <col min="4" max="4" width="12.83203125" bestFit="1" customWidth="1"/>
    <col min="5" max="6" width="11.6640625" bestFit="1" customWidth="1"/>
    <col min="7" max="7" width="15.6640625" bestFit="1" customWidth="1"/>
    <col min="8" max="8" width="12.5" bestFit="1" customWidth="1"/>
    <col min="10" max="10" width="11.5" bestFit="1" customWidth="1"/>
    <col min="12" max="12" width="11.5" bestFit="1" customWidth="1"/>
    <col min="15" max="16" width="12.6640625" bestFit="1" customWidth="1"/>
  </cols>
  <sheetData>
    <row r="4" spans="2:16" x14ac:dyDescent="0.2">
      <c r="B4" s="1"/>
    </row>
    <row r="5" spans="2:16" x14ac:dyDescent="0.2">
      <c r="B5" s="1"/>
    </row>
    <row r="6" spans="2:16" x14ac:dyDescent="0.2">
      <c r="B6" s="2"/>
      <c r="C6" s="2"/>
    </row>
    <row r="7" spans="2:16" x14ac:dyDescent="0.2">
      <c r="B7" s="2"/>
      <c r="C7" s="2"/>
    </row>
    <row r="8" spans="2:16" x14ac:dyDescent="0.2">
      <c r="B8" s="2"/>
    </row>
    <row r="9" spans="2:16" x14ac:dyDescent="0.2">
      <c r="B9" s="2"/>
      <c r="D9" t="s">
        <v>0</v>
      </c>
      <c r="E9" t="s">
        <v>1</v>
      </c>
      <c r="F9" t="s">
        <v>2</v>
      </c>
      <c r="G9" t="s">
        <v>3</v>
      </c>
      <c r="H9" t="s">
        <v>4</v>
      </c>
      <c r="J9" t="s">
        <v>7</v>
      </c>
      <c r="K9" t="s">
        <v>10</v>
      </c>
      <c r="L9" t="s">
        <v>11</v>
      </c>
    </row>
    <row r="10" spans="2:16" x14ac:dyDescent="0.2">
      <c r="B10" s="2"/>
      <c r="C10" s="2"/>
      <c r="D10">
        <v>2</v>
      </c>
      <c r="E10">
        <v>4</v>
      </c>
      <c r="F10">
        <v>1</v>
      </c>
      <c r="G10">
        <v>4</v>
      </c>
      <c r="H10" t="s">
        <v>5</v>
      </c>
      <c r="J10" t="s">
        <v>8</v>
      </c>
      <c r="K10">
        <v>1</v>
      </c>
      <c r="L10" t="s">
        <v>12</v>
      </c>
    </row>
    <row r="11" spans="2:16" x14ac:dyDescent="0.2">
      <c r="B11" s="2"/>
      <c r="C11" s="2"/>
      <c r="D11">
        <v>2</v>
      </c>
      <c r="E11">
        <v>3</v>
      </c>
      <c r="F11">
        <v>1</v>
      </c>
      <c r="G11">
        <v>4</v>
      </c>
      <c r="H11" t="s">
        <v>5</v>
      </c>
      <c r="J11" t="s">
        <v>9</v>
      </c>
      <c r="K11">
        <v>5</v>
      </c>
      <c r="L11" t="s">
        <v>13</v>
      </c>
    </row>
    <row r="12" spans="2:16" x14ac:dyDescent="0.2">
      <c r="B12" s="2"/>
      <c r="D12">
        <v>4</v>
      </c>
      <c r="E12">
        <v>1</v>
      </c>
      <c r="F12">
        <v>4</v>
      </c>
      <c r="G12">
        <v>2</v>
      </c>
      <c r="H12" t="s">
        <v>6</v>
      </c>
      <c r="J12" t="s">
        <v>8</v>
      </c>
      <c r="K12">
        <v>4</v>
      </c>
      <c r="L12" t="s">
        <v>9</v>
      </c>
    </row>
    <row r="13" spans="2:16" x14ac:dyDescent="0.2">
      <c r="B13" s="2"/>
      <c r="D13">
        <v>1</v>
      </c>
      <c r="E13">
        <v>4</v>
      </c>
      <c r="F13">
        <v>1</v>
      </c>
      <c r="G13">
        <v>4</v>
      </c>
      <c r="H13" t="s">
        <v>5</v>
      </c>
      <c r="J13" t="s">
        <v>8</v>
      </c>
      <c r="K13">
        <v>4</v>
      </c>
      <c r="L13" t="s">
        <v>9</v>
      </c>
    </row>
    <row r="14" spans="2:16" x14ac:dyDescent="0.2">
      <c r="B14" s="2"/>
      <c r="C14" s="2"/>
      <c r="D14">
        <v>3</v>
      </c>
      <c r="E14">
        <v>3</v>
      </c>
      <c r="F14">
        <v>3</v>
      </c>
      <c r="G14">
        <v>2</v>
      </c>
      <c r="H14" t="s">
        <v>6</v>
      </c>
      <c r="J14" t="s">
        <v>8</v>
      </c>
      <c r="K14">
        <v>2</v>
      </c>
      <c r="L14" t="s">
        <v>12</v>
      </c>
      <c r="N14" t="s">
        <v>13</v>
      </c>
      <c r="O14" t="s">
        <v>9</v>
      </c>
      <c r="P14" t="s">
        <v>12</v>
      </c>
    </row>
    <row r="15" spans="2:16" x14ac:dyDescent="0.2">
      <c r="B15" s="2"/>
      <c r="C15" s="2"/>
      <c r="D15">
        <v>3</v>
      </c>
      <c r="E15">
        <v>4</v>
      </c>
      <c r="F15">
        <v>1</v>
      </c>
      <c r="G15">
        <v>4</v>
      </c>
      <c r="H15" t="s">
        <v>5</v>
      </c>
      <c r="J15" t="s">
        <v>9</v>
      </c>
      <c r="K15">
        <v>4</v>
      </c>
      <c r="L15" t="s">
        <v>9</v>
      </c>
      <c r="N15">
        <f>3/N16</f>
        <v>0.2</v>
      </c>
      <c r="O15" s="4">
        <f>8/N16</f>
        <v>0.53333333333333333</v>
      </c>
      <c r="P15" s="4">
        <f>4/N16</f>
        <v>0.26666666666666666</v>
      </c>
    </row>
    <row r="16" spans="2:16" x14ac:dyDescent="0.2">
      <c r="B16" s="2"/>
      <c r="D16">
        <v>4</v>
      </c>
      <c r="E16">
        <v>2</v>
      </c>
      <c r="F16">
        <v>3</v>
      </c>
      <c r="G16">
        <v>2</v>
      </c>
      <c r="H16" t="s">
        <v>6</v>
      </c>
      <c r="J16" t="s">
        <v>8</v>
      </c>
      <c r="K16">
        <v>1</v>
      </c>
      <c r="L16" t="s">
        <v>12</v>
      </c>
      <c r="N16">
        <f>15</f>
        <v>15</v>
      </c>
    </row>
    <row r="17" spans="2:17" x14ac:dyDescent="0.2">
      <c r="B17" s="2"/>
      <c r="D17">
        <v>4</v>
      </c>
      <c r="E17">
        <v>1</v>
      </c>
      <c r="F17">
        <v>3</v>
      </c>
      <c r="G17">
        <v>2</v>
      </c>
      <c r="H17" t="s">
        <v>6</v>
      </c>
      <c r="J17" t="s">
        <v>9</v>
      </c>
      <c r="K17">
        <v>2</v>
      </c>
      <c r="L17" t="s">
        <v>12</v>
      </c>
    </row>
    <row r="18" spans="2:17" x14ac:dyDescent="0.2">
      <c r="B18" s="2"/>
      <c r="C18" s="2"/>
      <c r="D18">
        <v>3</v>
      </c>
      <c r="E18">
        <v>4</v>
      </c>
      <c r="F18">
        <v>1</v>
      </c>
      <c r="G18">
        <v>3</v>
      </c>
      <c r="H18" t="s">
        <v>5</v>
      </c>
      <c r="J18" t="s">
        <v>9</v>
      </c>
      <c r="K18">
        <v>6</v>
      </c>
      <c r="L18" t="s">
        <v>13</v>
      </c>
    </row>
    <row r="19" spans="2:17" x14ac:dyDescent="0.2">
      <c r="B19" s="2"/>
      <c r="C19" s="2"/>
      <c r="D19">
        <v>1</v>
      </c>
      <c r="E19">
        <v>3</v>
      </c>
      <c r="F19">
        <v>2</v>
      </c>
      <c r="G19">
        <v>4</v>
      </c>
      <c r="H19" t="s">
        <v>5</v>
      </c>
      <c r="J19" t="s">
        <v>9</v>
      </c>
      <c r="K19">
        <v>6</v>
      </c>
      <c r="L19" t="s">
        <v>13</v>
      </c>
    </row>
    <row r="20" spans="2:17" x14ac:dyDescent="0.2">
      <c r="B20" s="2"/>
      <c r="D20">
        <v>1</v>
      </c>
      <c r="E20">
        <v>3</v>
      </c>
      <c r="F20">
        <v>2</v>
      </c>
      <c r="G20">
        <v>4</v>
      </c>
      <c r="J20" t="s">
        <v>8</v>
      </c>
      <c r="K20">
        <v>3</v>
      </c>
      <c r="L20" t="s">
        <v>9</v>
      </c>
    </row>
    <row r="21" spans="2:17" x14ac:dyDescent="0.2">
      <c r="B21" s="2"/>
      <c r="J21" t="s">
        <v>9</v>
      </c>
      <c r="K21">
        <v>5</v>
      </c>
      <c r="L21" t="s">
        <v>9</v>
      </c>
    </row>
    <row r="22" spans="2:17" x14ac:dyDescent="0.2">
      <c r="B22" s="2"/>
      <c r="C22" s="2"/>
      <c r="J22" t="s">
        <v>8</v>
      </c>
      <c r="K22">
        <v>4</v>
      </c>
      <c r="L22" t="s">
        <v>9</v>
      </c>
    </row>
    <row r="23" spans="2:17" x14ac:dyDescent="0.2">
      <c r="B23" s="2"/>
      <c r="C23" s="2"/>
      <c r="D23">
        <f>IF(AND(D10=D$20,($H10="SI")),1,0)</f>
        <v>0</v>
      </c>
      <c r="E23">
        <f>IF(AND(E10=E$20,($H10="SI")),1,0)</f>
        <v>0</v>
      </c>
      <c r="F23">
        <f>IF(AND(F10=F$20,($H10="SI")),1,0)</f>
        <v>0</v>
      </c>
      <c r="G23">
        <f>IF(AND(G10=G$20,($H10="SI")),1,0)</f>
        <v>1</v>
      </c>
      <c r="J23" t="s">
        <v>8</v>
      </c>
      <c r="K23">
        <v>3</v>
      </c>
      <c r="L23" t="s">
        <v>9</v>
      </c>
    </row>
    <row r="24" spans="2:17" x14ac:dyDescent="0.2">
      <c r="B24" s="2"/>
      <c r="D24">
        <f t="shared" ref="D24:D33" si="0">IF(AND(D11=$D$20,(H11="SI")),1,0)</f>
        <v>0</v>
      </c>
      <c r="E24">
        <f>IF(AND(E11=E$20,($H11="SI")),1,0)</f>
        <v>1</v>
      </c>
      <c r="F24">
        <f t="shared" ref="F24:G32" si="1">IF(AND(F11=F$20,($H11="SI")),1,0)</f>
        <v>0</v>
      </c>
      <c r="G24">
        <f t="shared" si="1"/>
        <v>1</v>
      </c>
      <c r="J24" t="s">
        <v>8</v>
      </c>
      <c r="K24">
        <v>3</v>
      </c>
      <c r="L24" t="s">
        <v>9</v>
      </c>
    </row>
    <row r="25" spans="2:17" x14ac:dyDescent="0.2">
      <c r="B25" s="2"/>
      <c r="D25">
        <f t="shared" si="0"/>
        <v>0</v>
      </c>
      <c r="E25">
        <f t="shared" ref="E24:E32" si="2">IF(AND(E12=E$20,($H12="SI")),1,0)</f>
        <v>0</v>
      </c>
      <c r="F25">
        <f t="shared" si="1"/>
        <v>0</v>
      </c>
      <c r="G25">
        <f t="shared" si="1"/>
        <v>0</v>
      </c>
      <c r="J25" t="s">
        <v>9</v>
      </c>
      <c r="K25">
        <v>4</v>
      </c>
      <c r="L25">
        <f>COUNT(K10:K24)</f>
        <v>15</v>
      </c>
    </row>
    <row r="26" spans="2:17" x14ac:dyDescent="0.2">
      <c r="D26">
        <f t="shared" si="0"/>
        <v>1</v>
      </c>
      <c r="E26">
        <f t="shared" si="2"/>
        <v>0</v>
      </c>
      <c r="F26">
        <f t="shared" si="1"/>
        <v>0</v>
      </c>
      <c r="G26">
        <f t="shared" si="1"/>
        <v>1</v>
      </c>
    </row>
    <row r="27" spans="2:17" x14ac:dyDescent="0.2">
      <c r="D27">
        <f t="shared" si="0"/>
        <v>0</v>
      </c>
      <c r="E27">
        <f t="shared" si="2"/>
        <v>0</v>
      </c>
      <c r="F27">
        <f t="shared" si="1"/>
        <v>0</v>
      </c>
      <c r="G27">
        <f t="shared" si="1"/>
        <v>0</v>
      </c>
      <c r="J27">
        <f xml:space="preserve"> IF(AND(J10=J$25,$L10="A"),1,0)</f>
        <v>0</v>
      </c>
      <c r="K27">
        <f xml:space="preserve"> IF(AND(K10=K$25,$L10="A"),1,0)</f>
        <v>0</v>
      </c>
      <c r="M27">
        <f xml:space="preserve"> IF(AND(J10=J$25,$L10="M"),1,0)</f>
        <v>0</v>
      </c>
      <c r="N27">
        <f xml:space="preserve"> IF(AND(K10=K$25,$L10="M"),1,0)</f>
        <v>0</v>
      </c>
      <c r="P27">
        <f xml:space="preserve"> IF(AND(J10=J$25,$L10="P"),1,0)</f>
        <v>0</v>
      </c>
      <c r="Q27">
        <f xml:space="preserve"> IF(AND(K10=K$25,$L10="P"),1,0)</f>
        <v>0</v>
      </c>
    </row>
    <row r="28" spans="2:17" x14ac:dyDescent="0.2">
      <c r="D28">
        <f t="shared" si="0"/>
        <v>0</v>
      </c>
      <c r="E28">
        <f t="shared" si="2"/>
        <v>0</v>
      </c>
      <c r="F28">
        <f t="shared" si="1"/>
        <v>0</v>
      </c>
      <c r="G28">
        <f t="shared" si="1"/>
        <v>1</v>
      </c>
      <c r="J28">
        <f xml:space="preserve"> IF(AND(J11=J$25,$L11="A"),1,0)</f>
        <v>1</v>
      </c>
      <c r="K28">
        <f t="shared" ref="J28:K40" si="3" xml:space="preserve"> IF(AND(K11=K$25,$L11="A"),1,0)</f>
        <v>0</v>
      </c>
      <c r="M28">
        <f t="shared" ref="M28:M41" si="4" xml:space="preserve"> IF(AND(J11=J$25,$L11="M"),1,0)</f>
        <v>0</v>
      </c>
      <c r="N28">
        <f t="shared" ref="N28:N40" si="5" xml:space="preserve"> IF(AND(K11=K$25,$L11="M"),1,0)</f>
        <v>0</v>
      </c>
      <c r="P28">
        <f xml:space="preserve"> IF(AND(J11=J$25,$L11="P"),1,0)</f>
        <v>0</v>
      </c>
      <c r="Q28">
        <f t="shared" ref="Q28:Q41" si="6" xml:space="preserve"> IF(AND(K11=K$25,$L11="P"),1,0)</f>
        <v>0</v>
      </c>
    </row>
    <row r="29" spans="2:17" x14ac:dyDescent="0.2">
      <c r="D29">
        <f t="shared" si="0"/>
        <v>0</v>
      </c>
      <c r="E29">
        <f t="shared" si="2"/>
        <v>0</v>
      </c>
      <c r="F29">
        <f t="shared" si="1"/>
        <v>0</v>
      </c>
      <c r="G29">
        <f t="shared" si="1"/>
        <v>0</v>
      </c>
      <c r="J29">
        <f t="shared" si="3"/>
        <v>0</v>
      </c>
      <c r="K29">
        <f t="shared" si="3"/>
        <v>0</v>
      </c>
      <c r="M29">
        <f t="shared" si="4"/>
        <v>0</v>
      </c>
      <c r="N29">
        <f t="shared" si="5"/>
        <v>1</v>
      </c>
      <c r="P29">
        <f xml:space="preserve"> IF(AND(J12=J$25,$L12="P"),1,0)</f>
        <v>0</v>
      </c>
      <c r="Q29">
        <f t="shared" si="6"/>
        <v>0</v>
      </c>
    </row>
    <row r="30" spans="2:17" x14ac:dyDescent="0.2">
      <c r="D30">
        <f t="shared" si="0"/>
        <v>0</v>
      </c>
      <c r="E30">
        <f t="shared" si="2"/>
        <v>0</v>
      </c>
      <c r="F30">
        <f t="shared" si="1"/>
        <v>0</v>
      </c>
      <c r="G30">
        <f t="shared" si="1"/>
        <v>0</v>
      </c>
      <c r="J30">
        <f t="shared" si="3"/>
        <v>0</v>
      </c>
      <c r="K30">
        <f t="shared" si="3"/>
        <v>0</v>
      </c>
      <c r="M30">
        <f t="shared" si="4"/>
        <v>0</v>
      </c>
      <c r="N30">
        <f t="shared" si="5"/>
        <v>1</v>
      </c>
      <c r="P30">
        <f xml:space="preserve"> IF(AND(J13=J$25,$L13="P"),1,0)</f>
        <v>0</v>
      </c>
      <c r="Q30">
        <f t="shared" si="6"/>
        <v>0</v>
      </c>
    </row>
    <row r="31" spans="2:17" x14ac:dyDescent="0.2">
      <c r="D31">
        <f>IF(AND(D18=$D$20,(H18="SI")),1,0)</f>
        <v>0</v>
      </c>
      <c r="E31">
        <f t="shared" si="2"/>
        <v>0</v>
      </c>
      <c r="F31">
        <f t="shared" si="1"/>
        <v>0</v>
      </c>
      <c r="G31">
        <f t="shared" si="1"/>
        <v>0</v>
      </c>
      <c r="J31">
        <f t="shared" si="3"/>
        <v>0</v>
      </c>
      <c r="K31">
        <f t="shared" si="3"/>
        <v>0</v>
      </c>
      <c r="M31">
        <f t="shared" si="4"/>
        <v>0</v>
      </c>
      <c r="N31">
        <f t="shared" si="5"/>
        <v>0</v>
      </c>
      <c r="P31">
        <f xml:space="preserve"> IF(AND(J14=J$25,$L14="P"),1,0)</f>
        <v>0</v>
      </c>
      <c r="Q31">
        <f t="shared" si="6"/>
        <v>0</v>
      </c>
    </row>
    <row r="32" spans="2:17" x14ac:dyDescent="0.2">
      <c r="D32">
        <f>IF(AND(D19=$D$20,(H19="SI")),1,0)</f>
        <v>1</v>
      </c>
      <c r="E32">
        <f t="shared" si="2"/>
        <v>1</v>
      </c>
      <c r="F32">
        <f>IF(AND(F19=F$20,($H19="SI")),1,0)</f>
        <v>1</v>
      </c>
      <c r="G32">
        <f>IF(AND(G19=G$20,($H19="SI")),1,0)</f>
        <v>1</v>
      </c>
      <c r="J32">
        <f t="shared" si="3"/>
        <v>0</v>
      </c>
      <c r="K32">
        <f t="shared" si="3"/>
        <v>0</v>
      </c>
      <c r="M32">
        <f t="shared" si="4"/>
        <v>1</v>
      </c>
      <c r="N32">
        <f t="shared" si="5"/>
        <v>1</v>
      </c>
      <c r="P32">
        <f xml:space="preserve"> IF(AND(J15=J$25,$L15="P"),1,0)</f>
        <v>0</v>
      </c>
      <c r="Q32">
        <f t="shared" si="6"/>
        <v>0</v>
      </c>
    </row>
    <row r="33" spans="4:18" x14ac:dyDescent="0.2">
      <c r="D33">
        <f>SUM(D23:D32)</f>
        <v>2</v>
      </c>
      <c r="E33">
        <f t="shared" ref="E33:G33" si="7">SUM(E23:E32)</f>
        <v>2</v>
      </c>
      <c r="F33">
        <f t="shared" si="7"/>
        <v>1</v>
      </c>
      <c r="G33">
        <f t="shared" si="7"/>
        <v>5</v>
      </c>
      <c r="J33">
        <f t="shared" si="3"/>
        <v>0</v>
      </c>
      <c r="K33">
        <f t="shared" si="3"/>
        <v>0</v>
      </c>
      <c r="M33">
        <f t="shared" si="4"/>
        <v>0</v>
      </c>
      <c r="N33">
        <f t="shared" si="5"/>
        <v>0</v>
      </c>
      <c r="P33">
        <f xml:space="preserve"> IF(AND(J16=J$25,$L16="P"),1,0)</f>
        <v>0</v>
      </c>
      <c r="Q33">
        <f t="shared" si="6"/>
        <v>0</v>
      </c>
    </row>
    <row r="34" spans="4:18" x14ac:dyDescent="0.2">
      <c r="D34">
        <f>D33/6</f>
        <v>0.33333333333333331</v>
      </c>
      <c r="E34">
        <f t="shared" ref="E34:F34" si="8">E33/6</f>
        <v>0.33333333333333331</v>
      </c>
      <c r="F34">
        <f t="shared" si="8"/>
        <v>0.16666666666666666</v>
      </c>
      <c r="G34">
        <f>G33/6</f>
        <v>0.83333333333333337</v>
      </c>
      <c r="H34" s="3">
        <f>PRODUCT(D34:G34)</f>
        <v>1.5432098765432098E-2</v>
      </c>
      <c r="J34">
        <f t="shared" si="3"/>
        <v>0</v>
      </c>
      <c r="K34">
        <f t="shared" si="3"/>
        <v>0</v>
      </c>
      <c r="M34">
        <f t="shared" si="4"/>
        <v>0</v>
      </c>
      <c r="N34">
        <f t="shared" si="5"/>
        <v>0</v>
      </c>
      <c r="P34">
        <f xml:space="preserve"> IF(AND(J17=J$25,$L17="P"),1,0)</f>
        <v>1</v>
      </c>
      <c r="Q34">
        <f t="shared" si="6"/>
        <v>0</v>
      </c>
    </row>
    <row r="35" spans="4:18" x14ac:dyDescent="0.2">
      <c r="J35">
        <f t="shared" si="3"/>
        <v>1</v>
      </c>
      <c r="K35">
        <f t="shared" si="3"/>
        <v>0</v>
      </c>
      <c r="M35">
        <f t="shared" si="4"/>
        <v>0</v>
      </c>
      <c r="N35">
        <f t="shared" si="5"/>
        <v>0</v>
      </c>
      <c r="P35">
        <f xml:space="preserve"> IF(AND(J18=J$25,$L18="P"),1,0)</f>
        <v>0</v>
      </c>
      <c r="Q35">
        <f t="shared" si="6"/>
        <v>0</v>
      </c>
    </row>
    <row r="36" spans="4:18" x14ac:dyDescent="0.2">
      <c r="J36">
        <f t="shared" si="3"/>
        <v>1</v>
      </c>
      <c r="K36">
        <f t="shared" si="3"/>
        <v>0</v>
      </c>
      <c r="M36">
        <f t="shared" si="4"/>
        <v>0</v>
      </c>
      <c r="N36">
        <f t="shared" si="5"/>
        <v>0</v>
      </c>
      <c r="P36">
        <f xml:space="preserve"> IF(AND(J19=J$25,$L19="P"),1,0)</f>
        <v>0</v>
      </c>
      <c r="Q36">
        <f t="shared" si="6"/>
        <v>0</v>
      </c>
    </row>
    <row r="37" spans="4:18" x14ac:dyDescent="0.2">
      <c r="D37">
        <f>IF(AND(D10=D$20,($H10="NO")),1,0)</f>
        <v>0</v>
      </c>
      <c r="E37">
        <f t="shared" ref="E37:G37" si="9">IF(AND(E10=E$20,($H10="NO")),1,0)</f>
        <v>0</v>
      </c>
      <c r="F37">
        <f t="shared" si="9"/>
        <v>0</v>
      </c>
      <c r="G37">
        <f t="shared" si="9"/>
        <v>0</v>
      </c>
      <c r="J37">
        <f t="shared" si="3"/>
        <v>0</v>
      </c>
      <c r="K37">
        <f t="shared" si="3"/>
        <v>0</v>
      </c>
      <c r="M37">
        <f t="shared" si="4"/>
        <v>0</v>
      </c>
      <c r="N37">
        <f t="shared" si="5"/>
        <v>0</v>
      </c>
      <c r="P37">
        <f xml:space="preserve"> IF(AND(J20=J$25,$L20="P"),1,0)</f>
        <v>0</v>
      </c>
      <c r="Q37">
        <f t="shared" si="6"/>
        <v>0</v>
      </c>
    </row>
    <row r="38" spans="4:18" x14ac:dyDescent="0.2">
      <c r="D38">
        <f t="shared" ref="D38:G45" si="10">IF(AND(D11=D$20,($H11="NO")),1,0)</f>
        <v>0</v>
      </c>
      <c r="E38">
        <f t="shared" si="10"/>
        <v>0</v>
      </c>
      <c r="F38">
        <f t="shared" si="10"/>
        <v>0</v>
      </c>
      <c r="G38">
        <f t="shared" si="10"/>
        <v>0</v>
      </c>
      <c r="J38">
        <f t="shared" si="3"/>
        <v>0</v>
      </c>
      <c r="K38">
        <f t="shared" si="3"/>
        <v>0</v>
      </c>
      <c r="M38">
        <f t="shared" si="4"/>
        <v>1</v>
      </c>
      <c r="N38">
        <f t="shared" si="5"/>
        <v>0</v>
      </c>
      <c r="P38">
        <f xml:space="preserve"> IF(AND(J21=J$25,$L21="P"),1,0)</f>
        <v>0</v>
      </c>
      <c r="Q38">
        <f t="shared" si="6"/>
        <v>0</v>
      </c>
    </row>
    <row r="39" spans="4:18" x14ac:dyDescent="0.2">
      <c r="D39">
        <f t="shared" si="10"/>
        <v>0</v>
      </c>
      <c r="E39">
        <f t="shared" si="10"/>
        <v>0</v>
      </c>
      <c r="F39">
        <f t="shared" si="10"/>
        <v>0</v>
      </c>
      <c r="G39">
        <f t="shared" si="10"/>
        <v>0</v>
      </c>
      <c r="J39">
        <f t="shared" si="3"/>
        <v>0</v>
      </c>
      <c r="K39">
        <f t="shared" si="3"/>
        <v>0</v>
      </c>
      <c r="M39">
        <f t="shared" si="4"/>
        <v>0</v>
      </c>
      <c r="N39">
        <f t="shared" si="5"/>
        <v>1</v>
      </c>
      <c r="P39">
        <f xml:space="preserve"> IF(AND(J22=J$25,$L22="P"),1,0)</f>
        <v>0</v>
      </c>
      <c r="Q39">
        <f t="shared" si="6"/>
        <v>0</v>
      </c>
    </row>
    <row r="40" spans="4:18" x14ac:dyDescent="0.2">
      <c r="D40">
        <f t="shared" si="10"/>
        <v>0</v>
      </c>
      <c r="E40">
        <f t="shared" si="10"/>
        <v>0</v>
      </c>
      <c r="F40">
        <f t="shared" si="10"/>
        <v>0</v>
      </c>
      <c r="G40">
        <f t="shared" si="10"/>
        <v>0</v>
      </c>
      <c r="J40">
        <f t="shared" si="3"/>
        <v>0</v>
      </c>
      <c r="K40">
        <f t="shared" si="3"/>
        <v>0</v>
      </c>
      <c r="M40">
        <f t="shared" si="4"/>
        <v>0</v>
      </c>
      <c r="N40">
        <f t="shared" si="5"/>
        <v>0</v>
      </c>
      <c r="P40">
        <f xml:space="preserve"> IF(AND(J23=J$25,$L23="P"),1,0)</f>
        <v>0</v>
      </c>
      <c r="Q40">
        <f t="shared" si="6"/>
        <v>0</v>
      </c>
    </row>
    <row r="41" spans="4:18" x14ac:dyDescent="0.2">
      <c r="D41">
        <f t="shared" si="10"/>
        <v>0</v>
      </c>
      <c r="E41">
        <f t="shared" si="10"/>
        <v>1</v>
      </c>
      <c r="F41">
        <f t="shared" si="10"/>
        <v>0</v>
      </c>
      <c r="G41">
        <f t="shared" si="10"/>
        <v>0</v>
      </c>
      <c r="J41">
        <f xml:space="preserve"> IF(AND(J24=J$25,$L24="A"),1,0)</f>
        <v>0</v>
      </c>
      <c r="K41">
        <f xml:space="preserve"> IF(AND(K24=K$25,$L24="A"),1,0)</f>
        <v>0</v>
      </c>
      <c r="M41">
        <f t="shared" si="4"/>
        <v>0</v>
      </c>
      <c r="N41">
        <f xml:space="preserve"> IF(AND(K24=K$25,$L24="M"),1,0)</f>
        <v>0</v>
      </c>
      <c r="P41">
        <f xml:space="preserve"> IF(AND(J24=J$25,$L24="P"),1,0)</f>
        <v>0</v>
      </c>
      <c r="Q41">
        <f t="shared" si="6"/>
        <v>0</v>
      </c>
    </row>
    <row r="42" spans="4:18" x14ac:dyDescent="0.2">
      <c r="D42">
        <f t="shared" si="10"/>
        <v>0</v>
      </c>
      <c r="E42">
        <f t="shared" si="10"/>
        <v>0</v>
      </c>
      <c r="F42">
        <f t="shared" si="10"/>
        <v>0</v>
      </c>
      <c r="G42">
        <f t="shared" si="10"/>
        <v>0</v>
      </c>
    </row>
    <row r="43" spans="4:18" x14ac:dyDescent="0.2">
      <c r="D43">
        <f t="shared" si="10"/>
        <v>0</v>
      </c>
      <c r="E43">
        <f t="shared" si="10"/>
        <v>0</v>
      </c>
      <c r="F43">
        <f t="shared" si="10"/>
        <v>0</v>
      </c>
      <c r="G43">
        <f t="shared" si="10"/>
        <v>0</v>
      </c>
      <c r="J43">
        <f>SUM(J27:J41)</f>
        <v>3</v>
      </c>
      <c r="K43">
        <f>SUM(K27:K41)</f>
        <v>0</v>
      </c>
      <c r="M43">
        <f>SUM(M27:M41)</f>
        <v>2</v>
      </c>
      <c r="N43">
        <f>SUM(N27:N41)</f>
        <v>4</v>
      </c>
      <c r="P43">
        <f>SUM(P27:P41)</f>
        <v>1</v>
      </c>
      <c r="Q43">
        <f>SUM(Q27:Q41)</f>
        <v>0</v>
      </c>
    </row>
    <row r="44" spans="4:18" x14ac:dyDescent="0.2">
      <c r="D44">
        <f t="shared" si="10"/>
        <v>0</v>
      </c>
      <c r="E44">
        <f t="shared" si="10"/>
        <v>0</v>
      </c>
      <c r="F44">
        <f t="shared" si="10"/>
        <v>0</v>
      </c>
      <c r="G44">
        <f t="shared" si="10"/>
        <v>0</v>
      </c>
      <c r="J44">
        <f>J43/3</f>
        <v>1</v>
      </c>
      <c r="K44">
        <f>K43/3</f>
        <v>0</v>
      </c>
      <c r="L44" s="6">
        <f>PRODUCT(J44:K44)</f>
        <v>0</v>
      </c>
      <c r="M44">
        <f>M43/8</f>
        <v>0.25</v>
      </c>
      <c r="N44">
        <f>N43/8</f>
        <v>0.5</v>
      </c>
      <c r="O44" s="7">
        <f>PRODUCT(M44:N44)</f>
        <v>0.125</v>
      </c>
      <c r="P44">
        <f>P43/4</f>
        <v>0.25</v>
      </c>
      <c r="Q44">
        <f>Q43/4</f>
        <v>0</v>
      </c>
      <c r="R44" s="6">
        <f>PRODUCT(P44:Q44)</f>
        <v>0</v>
      </c>
    </row>
    <row r="45" spans="4:18" x14ac:dyDescent="0.2">
      <c r="D45">
        <f>IF(AND(D18=D$20,($H18="NO")),1,0)</f>
        <v>0</v>
      </c>
      <c r="E45">
        <f t="shared" ref="E45:G45" si="11">IF(AND(E18=E$20,($H18="NO")),1,0)</f>
        <v>0</v>
      </c>
      <c r="F45">
        <f t="shared" si="11"/>
        <v>0</v>
      </c>
      <c r="G45">
        <f t="shared" si="11"/>
        <v>0</v>
      </c>
    </row>
    <row r="46" spans="4:18" x14ac:dyDescent="0.2">
      <c r="D46">
        <f>IF(AND(D19=D$20,($H19="NO")),1,0)</f>
        <v>0</v>
      </c>
      <c r="E46">
        <f t="shared" ref="E46:G46" si="12">IF(AND(E19=E$20,($H19="NO")),1,0)</f>
        <v>0</v>
      </c>
      <c r="F46">
        <f t="shared" si="12"/>
        <v>0</v>
      </c>
      <c r="G46">
        <f t="shared" si="12"/>
        <v>0</v>
      </c>
    </row>
    <row r="47" spans="4:18" x14ac:dyDescent="0.2">
      <c r="D47">
        <f>SUM(D37:D46)</f>
        <v>0</v>
      </c>
      <c r="E47">
        <f t="shared" ref="E47:G47" si="13">SUM(E37:E46)</f>
        <v>1</v>
      </c>
      <c r="F47">
        <f t="shared" si="13"/>
        <v>0</v>
      </c>
      <c r="G47">
        <f t="shared" si="13"/>
        <v>0</v>
      </c>
    </row>
    <row r="48" spans="4:18" x14ac:dyDescent="0.2">
      <c r="D48">
        <f>D47/4</f>
        <v>0</v>
      </c>
      <c r="E48">
        <f t="shared" ref="E48:G48" si="14">E47/4</f>
        <v>0.25</v>
      </c>
      <c r="F48">
        <f t="shared" si="14"/>
        <v>0</v>
      </c>
      <c r="G48">
        <f t="shared" si="14"/>
        <v>0</v>
      </c>
      <c r="H48" s="5">
        <f>PRODUCT(D48:G48)</f>
        <v>0</v>
      </c>
    </row>
    <row r="50" spans="11:11" x14ac:dyDescent="0.2">
      <c r="K50" t="e">
        <f>(O44*O15)/M25</f>
        <v>#DIV/0!</v>
      </c>
    </row>
  </sheetData>
  <mergeCells count="16">
    <mergeCell ref="B20:B21"/>
    <mergeCell ref="B22:B23"/>
    <mergeCell ref="C22:C23"/>
    <mergeCell ref="B24:B25"/>
    <mergeCell ref="B12:B13"/>
    <mergeCell ref="B14:B15"/>
    <mergeCell ref="C14:C15"/>
    <mergeCell ref="B16:B17"/>
    <mergeCell ref="B18:B19"/>
    <mergeCell ref="C18:C19"/>
    <mergeCell ref="B4:B5"/>
    <mergeCell ref="B6:B7"/>
    <mergeCell ref="C6:C7"/>
    <mergeCell ref="B8:B9"/>
    <mergeCell ref="B10:B11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2020-11-03T21:54:57Z</dcterms:created>
  <dcterms:modified xsi:type="dcterms:W3CDTF">2020-11-03T23:02:01Z</dcterms:modified>
</cp:coreProperties>
</file>